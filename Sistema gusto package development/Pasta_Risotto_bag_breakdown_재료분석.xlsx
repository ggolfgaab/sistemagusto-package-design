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수성인터내셔널\Downloads\"/>
    </mc:Choice>
  </mc:AlternateContent>
  <xr:revisionPtr revIDLastSave="0" documentId="13_ncr:1_{68F85649-B466-438F-9373-7D5DE4D3E923}" xr6:coauthVersionLast="47" xr6:coauthVersionMax="47" xr10:uidLastSave="{00000000-0000-0000-0000-000000000000}"/>
  <bookViews>
    <workbookView xWindow="27075" yWindow="750" windowWidth="52890" windowHeight="14115" tabRatio="500" xr2:uid="{00000000-000D-0000-FFFF-FFFF00000000}"/>
  </bookViews>
  <sheets>
    <sheet name="Bag Breakdown" sheetId="1" r:id="rId1"/>
    <sheet name="Compare by Compon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" i="2" l="1"/>
  <c r="H8" i="2"/>
  <c r="H7" i="2"/>
  <c r="H11" i="2" s="1"/>
  <c r="G10" i="2"/>
  <c r="G8" i="2"/>
  <c r="G7" i="2"/>
  <c r="G11" i="2" s="1"/>
  <c r="F10" i="2"/>
  <c r="F9" i="2"/>
  <c r="F8" i="2"/>
  <c r="F6" i="2"/>
  <c r="E10" i="2"/>
  <c r="E9" i="2"/>
  <c r="E8" i="2"/>
  <c r="E7" i="2"/>
  <c r="D10" i="2"/>
  <c r="D9" i="2"/>
  <c r="D8" i="2"/>
  <c r="D7" i="2"/>
  <c r="D6" i="2"/>
  <c r="C8" i="2"/>
  <c r="C9" i="2"/>
  <c r="C6" i="2"/>
  <c r="B10" i="2"/>
  <c r="B11" i="2" s="1"/>
  <c r="B9" i="2"/>
  <c r="B7" i="2"/>
  <c r="D11" i="2"/>
  <c r="C11" i="2"/>
  <c r="F34" i="1"/>
  <c r="F28" i="1"/>
  <c r="F23" i="1"/>
  <c r="F19" i="1"/>
  <c r="F15" i="1"/>
  <c r="F12" i="1"/>
  <c r="F7" i="1"/>
  <c r="F11" i="2" l="1"/>
  <c r="E11" i="2"/>
</calcChain>
</file>

<file path=xl/sharedStrings.xml><?xml version="1.0" encoding="utf-8"?>
<sst xmlns="http://schemas.openxmlformats.org/spreadsheetml/2006/main" count="90" uniqueCount="61">
  <si>
    <t>Pasta &amp; Risotto (tasting picks) - component / per-bag weight sheet</t>
  </si>
  <si>
    <t>#</t>
  </si>
  <si>
    <t>Menu</t>
  </si>
  <si>
    <t>Brand</t>
  </si>
  <si>
    <t>Kit</t>
  </si>
  <si>
    <t>Component</t>
  </si>
  <si>
    <t>Weight (g)</t>
  </si>
  <si>
    <t>Net wt ref (g)</t>
  </si>
  <si>
    <t>White Ragu Pasta</t>
  </si>
  <si>
    <t>Kim Ho-yoon Kitchen</t>
  </si>
  <si>
    <t>All-in-one (1 bag)</t>
  </si>
  <si>
    <t>Ragu cream sauce (pork &amp; beef)</t>
  </si>
  <si>
    <t>Fresh noodle</t>
  </si>
  <si>
    <t>Cheese</t>
  </si>
  <si>
    <t>Flavor oil</t>
  </si>
  <si>
    <t>Subtotal (filled)</t>
  </si>
  <si>
    <t>Shrimp Tomato Pasta</t>
  </si>
  <si>
    <t>Tomato sauce</t>
  </si>
  <si>
    <t>Shrimp</t>
  </si>
  <si>
    <t>Classic Meat Ragu Pasta</t>
  </si>
  <si>
    <t>Collins Dining</t>
  </si>
  <si>
    <t>2-pack kit</t>
  </si>
  <si>
    <t>Aglio Olio Pasta</t>
  </si>
  <si>
    <t>Pono</t>
  </si>
  <si>
    <t>Fresh pasta</t>
  </si>
  <si>
    <t>Garlic &amp; olive-oil sauce</t>
  </si>
  <si>
    <t>Carbonara</t>
  </si>
  <si>
    <t>Carbonara sauce (egg yolk &amp; cream)</t>
  </si>
  <si>
    <t>Fettuccine noodle</t>
  </si>
  <si>
    <t>Dried bacon</t>
  </si>
  <si>
    <t>Fresh Egg Pasta with Ragu</t>
  </si>
  <si>
    <t>Allen</t>
  </si>
  <si>
    <t>Ragu sauce</t>
  </si>
  <si>
    <t>Fresh egg pasta</t>
  </si>
  <si>
    <t>Butter</t>
  </si>
  <si>
    <t>Crab Rose Risotto</t>
  </si>
  <si>
    <t>5-pack kit</t>
  </si>
  <si>
    <t>Notes:  Yellow cells = fill in your measured grams.  All-in-one items: split the pack into its parts and weigh each.  Classic Meat Ragu (file ref: sauce 300 g + noodle 120 g).  Crab Rose Risotto is a 5-pack but the file doesn't list per-bag names/weights - rename Bag 1-5 and weigh as needed.</t>
  </si>
  <si>
    <t>Measurement note: measured weights may differ slightly from the stated bag/net weight, because components are frozen (ice/glaze and moisture loss) and packing tolerances vary.</t>
  </si>
  <si>
    <t>Compare components across menus (grams) - read a row to compare the same part across brands</t>
  </si>
  <si>
    <t>Component  \  Menu</t>
  </si>
  <si>
    <t>Classic Meat Ragu</t>
  </si>
  <si>
    <t>Fresh Egg Ragu</t>
  </si>
  <si>
    <t>Kim Ho-yoon</t>
  </si>
  <si>
    <t>Noodle / Pasta / Rice base</t>
  </si>
  <si>
    <t>Sauce</t>
  </si>
  <si>
    <t>Meat / Seafood topping</t>
  </si>
  <si>
    <t>Oil</t>
  </si>
  <si>
    <t>Other / extra bag</t>
  </si>
  <si>
    <t>Sum of filled</t>
  </si>
  <si>
    <t>Net weight (file ref)</t>
  </si>
  <si>
    <t>Fill the yellow cells with measured grams. Blank = that menu has no separate part of that type. Measured weights may differ slightly from net weight (frozen glaze/moisture + packing tolerance). For All-in-one packs, weigh each part after separating; Classic Meat Ragu file ref: sauce 300 g, noodle 120 g.</t>
  </si>
  <si>
    <t>Cherry tomato x3</t>
    <phoneticPr fontId="1" type="noConversion"/>
  </si>
  <si>
    <t>Ragu meat sauce</t>
    <phoneticPr fontId="1" type="noConversion"/>
  </si>
  <si>
    <t>Linguine noodle</t>
    <phoneticPr fontId="1" type="noConversion"/>
  </si>
  <si>
    <t>Crab Rose Risotto</t>
    <phoneticPr fontId="1" type="noConversion"/>
  </si>
  <si>
    <t>Risotto rice base</t>
    <phoneticPr fontId="1" type="noConversion"/>
  </si>
  <si>
    <t>Garlic flakes</t>
    <phoneticPr fontId="1" type="noConversion"/>
  </si>
  <si>
    <t>Parmesan cheese</t>
    <phoneticPr fontId="1" type="noConversion"/>
  </si>
  <si>
    <t>Spicy tomato sauce</t>
    <phoneticPr fontId="1" type="noConversion"/>
  </si>
  <si>
    <t>Crab-meat cream sauce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</si>
</sst>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sz val="8"/>
      <name val="돋움"/>
      <family val="3"/>
      <charset val="129"/>
    </font>
    <font>
      <b/>
      <sz val="13"/>
      <color rgb="FFFFFFFF"/>
      <name val="SUIT"/>
      <family val="3"/>
      <charset val="129"/>
    </font>
    <font>
      <b/>
      <sz val="11"/>
      <color rgb="FFFFFFFF"/>
      <name val="SUIT"/>
      <family val="3"/>
      <charset val="129"/>
    </font>
    <font>
      <sz val="10"/>
      <name val="SUIT"/>
      <family val="3"/>
      <charset val="129"/>
    </font>
    <font>
      <b/>
      <sz val="10"/>
      <name val="SUIT"/>
      <family val="3"/>
      <charset val="129"/>
    </font>
    <font>
      <i/>
      <sz val="9"/>
      <color rgb="FF666666"/>
      <name val="SUIT"/>
      <family val="3"/>
      <charset val="129"/>
    </font>
    <font>
      <i/>
      <sz val="9"/>
      <color rgb="FFC0392B"/>
      <name val="SUIT"/>
      <family val="3"/>
      <charset val="129"/>
    </font>
    <font>
      <b/>
      <sz val="12"/>
      <color rgb="FFFFFFFF"/>
      <name val="SUIT"/>
      <family val="3"/>
      <charset val="129"/>
    </font>
    <font>
      <b/>
      <sz val="10"/>
      <color rgb="FFFFFFFF"/>
      <name val="SUIT"/>
      <family val="3"/>
      <charset val="129"/>
    </font>
    <font>
      <i/>
      <sz val="8"/>
      <color rgb="FFFFFFFF"/>
      <name val="SUIT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5B2C6F"/>
        <bgColor rgb="FF333333"/>
      </patternFill>
    </fill>
    <fill>
      <patternFill patternType="solid">
        <fgColor rgb="FFEDE7F3"/>
        <bgColor rgb="FFF2F2F2"/>
      </patternFill>
    </fill>
    <fill>
      <patternFill patternType="solid">
        <fgColor rgb="FFFFF6CC"/>
        <bgColor rgb="FFF2F2F2"/>
      </patternFill>
    </fill>
    <fill>
      <patternFill patternType="solid">
        <fgColor rgb="FFF2F2F2"/>
        <bgColor rgb="FFEDE7F3"/>
      </patternFill>
    </fill>
    <fill>
      <patternFill patternType="solid">
        <fgColor rgb="FFFFFFFF"/>
        <bgColor rgb="FFF2F2F2"/>
      </patternFill>
    </fill>
    <fill>
      <patternFill patternType="solid">
        <fgColor rgb="FF1A5276"/>
        <bgColor rgb="FF333333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right" vertical="center" inden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 indent="1"/>
    </xf>
    <xf numFmtId="0" fontId="7" fillId="0" borderId="0" xfId="0" applyFont="1" applyAlignment="1">
      <alignment vertical="top" wrapText="1" indent="1"/>
    </xf>
    <xf numFmtId="0" fontId="8" fillId="2" borderId="0" xfId="0" applyFont="1" applyFill="1" applyAlignment="1">
      <alignment horizontal="left" vertical="center" indent="1"/>
    </xf>
    <xf numFmtId="0" fontId="9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F2F2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5276"/>
      <rgbColor rgb="FF339966"/>
      <rgbColor rgb="FF003300"/>
      <rgbColor rgb="FF333300"/>
      <rgbColor rgb="FFC0392B"/>
      <rgbColor rgb="FF993366"/>
      <rgbColor rgb="FF5B2C6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tabSelected="1" zoomScaleNormal="100" workbookViewId="0">
      <pane ySplit="2" topLeftCell="A15" activePane="bottomLeft" state="frozen"/>
      <selection pane="bottomLeft" activeCell="F33" sqref="F33"/>
    </sheetView>
  </sheetViews>
  <sheetFormatPr defaultColWidth="8.7109375" defaultRowHeight="15" x14ac:dyDescent="0.25"/>
  <cols>
    <col min="1" max="1" width="5" customWidth="1"/>
    <col min="2" max="2" width="24" customWidth="1"/>
    <col min="3" max="3" width="20" customWidth="1"/>
    <col min="4" max="4" width="20.85546875" customWidth="1"/>
    <col min="5" max="5" width="40" customWidth="1"/>
    <col min="6" max="6" width="12" customWidth="1"/>
    <col min="7" max="7" width="14" customWidth="1"/>
  </cols>
  <sheetData>
    <row r="1" spans="1:7" ht="30" customHeight="1" x14ac:dyDescent="0.25">
      <c r="A1" s="1" t="s">
        <v>0</v>
      </c>
      <c r="B1" s="1"/>
      <c r="C1" s="1"/>
      <c r="D1" s="1"/>
      <c r="E1" s="1"/>
      <c r="F1" s="1"/>
      <c r="G1" s="1"/>
    </row>
    <row r="2" spans="1:7" ht="25.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5" customHeight="1" x14ac:dyDescent="0.25">
      <c r="A3" s="3">
        <v>1</v>
      </c>
      <c r="B3" s="4" t="s">
        <v>8</v>
      </c>
      <c r="C3" s="4" t="s">
        <v>9</v>
      </c>
      <c r="D3" s="3" t="s">
        <v>10</v>
      </c>
      <c r="E3" s="5" t="s">
        <v>11</v>
      </c>
      <c r="F3" s="6">
        <v>238</v>
      </c>
      <c r="G3" s="7">
        <v>355</v>
      </c>
    </row>
    <row r="4" spans="1:7" ht="15" customHeight="1" x14ac:dyDescent="0.25">
      <c r="A4" s="3"/>
      <c r="B4" s="3"/>
      <c r="C4" s="3"/>
      <c r="D4" s="3"/>
      <c r="E4" s="5" t="s">
        <v>12</v>
      </c>
      <c r="F4" s="6">
        <v>126</v>
      </c>
      <c r="G4" s="7"/>
    </row>
    <row r="5" spans="1:7" ht="15" customHeight="1" x14ac:dyDescent="0.25">
      <c r="A5" s="3"/>
      <c r="B5" s="3"/>
      <c r="C5" s="3"/>
      <c r="D5" s="3"/>
      <c r="E5" s="5" t="s">
        <v>13</v>
      </c>
      <c r="F5" s="6">
        <v>14</v>
      </c>
      <c r="G5" s="7"/>
    </row>
    <row r="6" spans="1:7" ht="15" customHeight="1" x14ac:dyDescent="0.25">
      <c r="A6" s="3"/>
      <c r="B6" s="3"/>
      <c r="C6" s="3"/>
      <c r="D6" s="3"/>
      <c r="E6" s="5" t="s">
        <v>14</v>
      </c>
      <c r="F6" s="6">
        <v>5</v>
      </c>
      <c r="G6" s="7"/>
    </row>
    <row r="7" spans="1:7" ht="15" customHeight="1" x14ac:dyDescent="0.25">
      <c r="A7" s="3"/>
      <c r="B7" s="3"/>
      <c r="C7" s="3"/>
      <c r="D7" s="3"/>
      <c r="E7" s="8" t="s">
        <v>15</v>
      </c>
      <c r="F7" s="17">
        <f>SUM(F3:F6)</f>
        <v>383</v>
      </c>
      <c r="G7" s="17">
        <v>355</v>
      </c>
    </row>
    <row r="8" spans="1:7" ht="15" customHeight="1" x14ac:dyDescent="0.25">
      <c r="A8" s="9">
        <v>2</v>
      </c>
      <c r="B8" s="10" t="s">
        <v>16</v>
      </c>
      <c r="C8" s="10" t="s">
        <v>9</v>
      </c>
      <c r="D8" s="9" t="s">
        <v>10</v>
      </c>
      <c r="E8" s="11" t="s">
        <v>17</v>
      </c>
      <c r="F8" s="6">
        <v>227</v>
      </c>
      <c r="G8" s="12">
        <v>418</v>
      </c>
    </row>
    <row r="9" spans="1:7" ht="15" customHeight="1" x14ac:dyDescent="0.25">
      <c r="A9" s="9"/>
      <c r="B9" s="9"/>
      <c r="C9" s="9"/>
      <c r="D9" s="9"/>
      <c r="E9" s="11" t="s">
        <v>12</v>
      </c>
      <c r="F9" s="6">
        <v>126</v>
      </c>
      <c r="G9" s="12"/>
    </row>
    <row r="10" spans="1:7" ht="15" customHeight="1" x14ac:dyDescent="0.25">
      <c r="A10" s="9"/>
      <c r="B10" s="9"/>
      <c r="C10" s="9"/>
      <c r="D10" s="9"/>
      <c r="E10" s="11" t="s">
        <v>18</v>
      </c>
      <c r="F10" s="6">
        <v>53</v>
      </c>
      <c r="G10" s="12"/>
    </row>
    <row r="11" spans="1:7" ht="15" customHeight="1" x14ac:dyDescent="0.25">
      <c r="A11" s="9"/>
      <c r="B11" s="9"/>
      <c r="C11" s="9"/>
      <c r="D11" s="9"/>
      <c r="E11" s="11" t="s">
        <v>52</v>
      </c>
      <c r="F11" s="6">
        <v>28</v>
      </c>
      <c r="G11" s="12"/>
    </row>
    <row r="12" spans="1:7" ht="15" customHeight="1" x14ac:dyDescent="0.25">
      <c r="A12" s="9"/>
      <c r="B12" s="9"/>
      <c r="C12" s="9"/>
      <c r="D12" s="9"/>
      <c r="E12" s="8" t="s">
        <v>15</v>
      </c>
      <c r="F12" s="17">
        <f>SUM(F8:F11)</f>
        <v>434</v>
      </c>
      <c r="G12" s="17">
        <v>418</v>
      </c>
    </row>
    <row r="13" spans="1:7" ht="15" customHeight="1" x14ac:dyDescent="0.25">
      <c r="A13" s="3">
        <v>3</v>
      </c>
      <c r="B13" s="4" t="s">
        <v>19</v>
      </c>
      <c r="C13" s="4" t="s">
        <v>20</v>
      </c>
      <c r="D13" s="3" t="s">
        <v>21</v>
      </c>
      <c r="E13" s="5" t="s">
        <v>53</v>
      </c>
      <c r="F13" s="6">
        <v>321</v>
      </c>
      <c r="G13" s="7">
        <v>420</v>
      </c>
    </row>
    <row r="14" spans="1:7" ht="15" customHeight="1" x14ac:dyDescent="0.25">
      <c r="A14" s="3"/>
      <c r="B14" s="3"/>
      <c r="C14" s="3"/>
      <c r="D14" s="3"/>
      <c r="E14" s="5" t="s">
        <v>54</v>
      </c>
      <c r="F14" s="6">
        <v>126</v>
      </c>
      <c r="G14" s="7"/>
    </row>
    <row r="15" spans="1:7" ht="15" customHeight="1" x14ac:dyDescent="0.25">
      <c r="A15" s="3"/>
      <c r="B15" s="3"/>
      <c r="C15" s="3"/>
      <c r="D15" s="3"/>
      <c r="E15" s="8" t="s">
        <v>15</v>
      </c>
      <c r="F15" s="17">
        <f>SUM(F13:F14)</f>
        <v>447</v>
      </c>
      <c r="G15" s="17">
        <v>420</v>
      </c>
    </row>
    <row r="16" spans="1:7" ht="15" customHeight="1" x14ac:dyDescent="0.25">
      <c r="A16" s="9">
        <v>4</v>
      </c>
      <c r="B16" s="10" t="s">
        <v>22</v>
      </c>
      <c r="C16" s="10" t="s">
        <v>23</v>
      </c>
      <c r="D16" s="9" t="s">
        <v>10</v>
      </c>
      <c r="E16" s="11" t="s">
        <v>24</v>
      </c>
      <c r="F16" s="6">
        <v>127</v>
      </c>
      <c r="G16" s="12">
        <v>188</v>
      </c>
    </row>
    <row r="17" spans="1:7" ht="15" customHeight="1" x14ac:dyDescent="0.25">
      <c r="A17" s="9"/>
      <c r="B17" s="9"/>
      <c r="C17" s="9"/>
      <c r="D17" s="9"/>
      <c r="E17" s="11" t="s">
        <v>25</v>
      </c>
      <c r="F17" s="6">
        <v>70</v>
      </c>
      <c r="G17" s="12"/>
    </row>
    <row r="18" spans="1:7" ht="15" customHeight="1" x14ac:dyDescent="0.25">
      <c r="A18" s="9"/>
      <c r="B18" s="9"/>
      <c r="C18" s="9"/>
      <c r="D18" s="9"/>
      <c r="E18" s="11" t="s">
        <v>13</v>
      </c>
      <c r="F18" s="6">
        <v>11</v>
      </c>
      <c r="G18" s="12"/>
    </row>
    <row r="19" spans="1:7" ht="15" customHeight="1" x14ac:dyDescent="0.25">
      <c r="A19" s="9"/>
      <c r="B19" s="9"/>
      <c r="C19" s="9"/>
      <c r="D19" s="9"/>
      <c r="E19" s="8" t="s">
        <v>15</v>
      </c>
      <c r="F19" s="17">
        <f>SUM(F16:F18)</f>
        <v>208</v>
      </c>
      <c r="G19" s="17">
        <v>188</v>
      </c>
    </row>
    <row r="20" spans="1:7" ht="15" customHeight="1" x14ac:dyDescent="0.25">
      <c r="A20" s="3">
        <v>5</v>
      </c>
      <c r="B20" s="4" t="s">
        <v>26</v>
      </c>
      <c r="C20" s="4" t="s">
        <v>23</v>
      </c>
      <c r="D20" s="3" t="s">
        <v>10</v>
      </c>
      <c r="E20" s="5" t="s">
        <v>27</v>
      </c>
      <c r="F20" s="6">
        <v>147</v>
      </c>
      <c r="G20" s="7">
        <v>290</v>
      </c>
    </row>
    <row r="21" spans="1:7" ht="15" customHeight="1" x14ac:dyDescent="0.25">
      <c r="A21" s="3"/>
      <c r="B21" s="3"/>
      <c r="C21" s="3"/>
      <c r="D21" s="3"/>
      <c r="E21" s="5" t="s">
        <v>28</v>
      </c>
      <c r="F21" s="6">
        <v>123</v>
      </c>
      <c r="G21" s="7"/>
    </row>
    <row r="22" spans="1:7" ht="15" customHeight="1" x14ac:dyDescent="0.25">
      <c r="A22" s="3"/>
      <c r="B22" s="3"/>
      <c r="C22" s="3"/>
      <c r="D22" s="3"/>
      <c r="E22" s="5" t="s">
        <v>29</v>
      </c>
      <c r="F22" s="6">
        <v>39</v>
      </c>
      <c r="G22" s="7"/>
    </row>
    <row r="23" spans="1:7" ht="15" customHeight="1" x14ac:dyDescent="0.25">
      <c r="A23" s="3"/>
      <c r="B23" s="3"/>
      <c r="C23" s="3"/>
      <c r="D23" s="3"/>
      <c r="E23" s="8" t="s">
        <v>15</v>
      </c>
      <c r="F23" s="17">
        <f>SUM(F20:F22)</f>
        <v>309</v>
      </c>
      <c r="G23" s="17">
        <v>290</v>
      </c>
    </row>
    <row r="24" spans="1:7" ht="15" customHeight="1" x14ac:dyDescent="0.25">
      <c r="A24" s="9">
        <v>6</v>
      </c>
      <c r="B24" s="10" t="s">
        <v>30</v>
      </c>
      <c r="C24" s="10" t="s">
        <v>31</v>
      </c>
      <c r="D24" s="9" t="s">
        <v>10</v>
      </c>
      <c r="E24" s="11" t="s">
        <v>32</v>
      </c>
      <c r="F24" s="6">
        <v>177</v>
      </c>
      <c r="G24" s="12">
        <v>310</v>
      </c>
    </row>
    <row r="25" spans="1:7" ht="15" customHeight="1" x14ac:dyDescent="0.25">
      <c r="A25" s="9"/>
      <c r="B25" s="9"/>
      <c r="C25" s="9"/>
      <c r="D25" s="9"/>
      <c r="E25" s="11" t="s">
        <v>33</v>
      </c>
      <c r="F25" s="6">
        <v>114</v>
      </c>
      <c r="G25" s="12"/>
    </row>
    <row r="26" spans="1:7" ht="15" customHeight="1" x14ac:dyDescent="0.25">
      <c r="A26" s="9"/>
      <c r="B26" s="9"/>
      <c r="C26" s="9"/>
      <c r="D26" s="9"/>
      <c r="E26" s="11" t="s">
        <v>13</v>
      </c>
      <c r="F26" s="6">
        <v>22</v>
      </c>
      <c r="G26" s="12"/>
    </row>
    <row r="27" spans="1:7" ht="15" customHeight="1" x14ac:dyDescent="0.25">
      <c r="A27" s="9"/>
      <c r="B27" s="9"/>
      <c r="C27" s="9"/>
      <c r="D27" s="9"/>
      <c r="E27" s="11" t="s">
        <v>34</v>
      </c>
      <c r="F27" s="6">
        <v>11</v>
      </c>
      <c r="G27" s="12"/>
    </row>
    <row r="28" spans="1:7" ht="15" customHeight="1" x14ac:dyDescent="0.25">
      <c r="A28" s="9"/>
      <c r="B28" s="9"/>
      <c r="C28" s="9"/>
      <c r="D28" s="9"/>
      <c r="E28" s="8" t="s">
        <v>15</v>
      </c>
      <c r="F28" s="17">
        <f>SUM(F24:F27)</f>
        <v>324</v>
      </c>
      <c r="G28" s="17">
        <v>310</v>
      </c>
    </row>
    <row r="29" spans="1:7" ht="15" customHeight="1" x14ac:dyDescent="0.25">
      <c r="A29" s="3">
        <v>7</v>
      </c>
      <c r="B29" s="4" t="s">
        <v>55</v>
      </c>
      <c r="C29" s="4" t="s">
        <v>9</v>
      </c>
      <c r="D29" s="3" t="s">
        <v>36</v>
      </c>
      <c r="E29" s="5" t="s">
        <v>60</v>
      </c>
      <c r="F29" s="6">
        <v>139</v>
      </c>
      <c r="G29" s="7">
        <v>430</v>
      </c>
    </row>
    <row r="30" spans="1:7" ht="15" customHeight="1" x14ac:dyDescent="0.25">
      <c r="A30" s="3"/>
      <c r="B30" s="3"/>
      <c r="C30" s="3"/>
      <c r="D30" s="3"/>
      <c r="E30" s="5" t="s">
        <v>56</v>
      </c>
      <c r="F30" s="6">
        <v>166</v>
      </c>
      <c r="G30" s="7"/>
    </row>
    <row r="31" spans="1:7" ht="15" customHeight="1" x14ac:dyDescent="0.25">
      <c r="A31" s="3"/>
      <c r="B31" s="3"/>
      <c r="C31" s="3"/>
      <c r="D31" s="3"/>
      <c r="E31" s="5" t="s">
        <v>59</v>
      </c>
      <c r="F31" s="6">
        <v>130</v>
      </c>
      <c r="G31" s="7"/>
    </row>
    <row r="32" spans="1:7" ht="15" customHeight="1" x14ac:dyDescent="0.25">
      <c r="A32" s="3"/>
      <c r="B32" s="3"/>
      <c r="C32" s="3"/>
      <c r="D32" s="3"/>
      <c r="E32" s="5" t="s">
        <v>58</v>
      </c>
      <c r="F32" s="6">
        <v>13</v>
      </c>
      <c r="G32" s="7"/>
    </row>
    <row r="33" spans="1:7" ht="15" customHeight="1" x14ac:dyDescent="0.25">
      <c r="A33" s="3"/>
      <c r="B33" s="3"/>
      <c r="C33" s="3"/>
      <c r="D33" s="3"/>
      <c r="E33" s="5" t="s">
        <v>57</v>
      </c>
      <c r="F33" s="6">
        <v>5</v>
      </c>
      <c r="G33" s="7"/>
    </row>
    <row r="34" spans="1:7" ht="15" customHeight="1" x14ac:dyDescent="0.25">
      <c r="A34" s="3"/>
      <c r="B34" s="3"/>
      <c r="C34" s="3"/>
      <c r="D34" s="3"/>
      <c r="E34" s="8" t="s">
        <v>15</v>
      </c>
      <c r="F34" s="17">
        <f>SUM(F29:F33)</f>
        <v>453</v>
      </c>
      <c r="G34" s="17">
        <v>430</v>
      </c>
    </row>
    <row r="36" spans="1:7" ht="57.75" customHeight="1" x14ac:dyDescent="0.25">
      <c r="A36" s="13" t="s">
        <v>37</v>
      </c>
      <c r="B36" s="13"/>
      <c r="C36" s="13"/>
      <c r="D36" s="13"/>
      <c r="E36" s="13"/>
      <c r="F36" s="13"/>
      <c r="G36" s="13"/>
    </row>
    <row r="37" spans="1:7" ht="31.5" customHeight="1" x14ac:dyDescent="0.25">
      <c r="A37" s="14" t="s">
        <v>38</v>
      </c>
      <c r="B37" s="14"/>
      <c r="C37" s="14"/>
      <c r="D37" s="14"/>
      <c r="E37" s="14"/>
      <c r="F37" s="14"/>
      <c r="G37" s="14"/>
    </row>
  </sheetData>
  <mergeCells count="31">
    <mergeCell ref="A36:G36"/>
    <mergeCell ref="A37:G37"/>
    <mergeCell ref="A24:A28"/>
    <mergeCell ref="B24:B28"/>
    <mergeCell ref="C24:C28"/>
    <mergeCell ref="D24:D28"/>
    <mergeCell ref="A29:A34"/>
    <mergeCell ref="B29:B34"/>
    <mergeCell ref="C29:C34"/>
    <mergeCell ref="D29:D34"/>
    <mergeCell ref="A16:A19"/>
    <mergeCell ref="B16:B19"/>
    <mergeCell ref="C16:C19"/>
    <mergeCell ref="D16:D19"/>
    <mergeCell ref="A20:A23"/>
    <mergeCell ref="B20:B23"/>
    <mergeCell ref="C20:C23"/>
    <mergeCell ref="D20:D23"/>
    <mergeCell ref="A8:A12"/>
    <mergeCell ref="B8:B12"/>
    <mergeCell ref="C8:C12"/>
    <mergeCell ref="D8:D12"/>
    <mergeCell ref="A13:A15"/>
    <mergeCell ref="B13:B15"/>
    <mergeCell ref="C13:C15"/>
    <mergeCell ref="D13:D15"/>
    <mergeCell ref="A1:G1"/>
    <mergeCell ref="A3:A7"/>
    <mergeCell ref="B3:B7"/>
    <mergeCell ref="C3:C7"/>
    <mergeCell ref="D3:D7"/>
  </mergeCells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showGridLines="0" zoomScale="115" zoomScaleNormal="11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4" sqref="A1:H14"/>
    </sheetView>
  </sheetViews>
  <sheetFormatPr defaultColWidth="8.7109375" defaultRowHeight="15" x14ac:dyDescent="0.25"/>
  <cols>
    <col min="1" max="1" width="26" customWidth="1"/>
    <col min="2" max="8" width="14" customWidth="1"/>
  </cols>
  <sheetData>
    <row r="1" spans="1:8" ht="27.75" customHeight="1" x14ac:dyDescent="0.25">
      <c r="A1" s="15" t="s">
        <v>39</v>
      </c>
      <c r="B1" s="15"/>
      <c r="C1" s="15"/>
      <c r="D1" s="15"/>
      <c r="E1" s="15"/>
      <c r="F1" s="15"/>
      <c r="G1" s="15"/>
      <c r="H1" s="15"/>
    </row>
    <row r="2" spans="1:8" ht="33.75" customHeight="1" x14ac:dyDescent="0.25">
      <c r="A2" s="18" t="s">
        <v>40</v>
      </c>
      <c r="B2" s="16" t="s">
        <v>8</v>
      </c>
      <c r="C2" s="16" t="s">
        <v>16</v>
      </c>
      <c r="D2" s="16" t="s">
        <v>41</v>
      </c>
      <c r="E2" s="16" t="s">
        <v>22</v>
      </c>
      <c r="F2" s="16" t="s">
        <v>26</v>
      </c>
      <c r="G2" s="16" t="s">
        <v>42</v>
      </c>
      <c r="H2" s="16" t="s">
        <v>35</v>
      </c>
    </row>
    <row r="3" spans="1:8" ht="15.75" customHeight="1" x14ac:dyDescent="0.25">
      <c r="A3" s="19" t="s">
        <v>3</v>
      </c>
      <c r="B3" s="20" t="s">
        <v>43</v>
      </c>
      <c r="C3" s="20" t="s">
        <v>43</v>
      </c>
      <c r="D3" s="20" t="s">
        <v>20</v>
      </c>
      <c r="E3" s="20" t="s">
        <v>23</v>
      </c>
      <c r="F3" s="20" t="s">
        <v>23</v>
      </c>
      <c r="G3" s="20" t="s">
        <v>31</v>
      </c>
      <c r="H3" s="20" t="s">
        <v>43</v>
      </c>
    </row>
    <row r="4" spans="1:8" x14ac:dyDescent="0.25">
      <c r="A4" s="21" t="s">
        <v>44</v>
      </c>
      <c r="B4" s="6">
        <v>126</v>
      </c>
      <c r="C4" s="6">
        <v>126</v>
      </c>
      <c r="D4" s="6">
        <v>126</v>
      </c>
      <c r="E4" s="6">
        <v>127</v>
      </c>
      <c r="F4" s="6">
        <v>123</v>
      </c>
      <c r="G4" s="6">
        <v>114</v>
      </c>
      <c r="H4" s="6">
        <v>166</v>
      </c>
    </row>
    <row r="5" spans="1:8" x14ac:dyDescent="0.25">
      <c r="A5" s="22" t="s">
        <v>45</v>
      </c>
      <c r="B5" s="6">
        <v>238</v>
      </c>
      <c r="C5" s="6">
        <v>227</v>
      </c>
      <c r="D5" s="6">
        <v>321</v>
      </c>
      <c r="E5" s="6">
        <v>70</v>
      </c>
      <c r="F5" s="6">
        <v>147</v>
      </c>
      <c r="G5" s="6">
        <v>177</v>
      </c>
      <c r="H5" s="6">
        <v>269</v>
      </c>
    </row>
    <row r="6" spans="1:8" x14ac:dyDescent="0.25">
      <c r="A6" s="21" t="s">
        <v>13</v>
      </c>
      <c r="B6" s="6">
        <v>14</v>
      </c>
      <c r="C6" s="6">
        <f>-L15</f>
        <v>0</v>
      </c>
      <c r="D6" s="6">
        <f>-M15</f>
        <v>0</v>
      </c>
      <c r="E6" s="6">
        <v>11</v>
      </c>
      <c r="F6" s="6">
        <f>-O15</f>
        <v>0</v>
      </c>
      <c r="G6" s="6">
        <v>22</v>
      </c>
      <c r="H6" s="6">
        <v>13</v>
      </c>
    </row>
    <row r="7" spans="1:8" x14ac:dyDescent="0.25">
      <c r="A7" s="22" t="s">
        <v>46</v>
      </c>
      <c r="B7" s="6">
        <f>-K16</f>
        <v>0</v>
      </c>
      <c r="C7" s="6">
        <v>53</v>
      </c>
      <c r="D7" s="6">
        <f>-M16</f>
        <v>0</v>
      </c>
      <c r="E7" s="6">
        <f>-N16</f>
        <v>0</v>
      </c>
      <c r="F7" s="6">
        <v>39</v>
      </c>
      <c r="G7" s="6">
        <f>-P16</f>
        <v>0</v>
      </c>
      <c r="H7" s="6">
        <f>-Q16</f>
        <v>0</v>
      </c>
    </row>
    <row r="8" spans="1:8" x14ac:dyDescent="0.25">
      <c r="A8" s="21" t="s">
        <v>47</v>
      </c>
      <c r="B8" s="6">
        <v>5</v>
      </c>
      <c r="C8" s="6">
        <f>-L17</f>
        <v>0</v>
      </c>
      <c r="D8" s="6">
        <f>-M17</f>
        <v>0</v>
      </c>
      <c r="E8" s="6">
        <f>-N17</f>
        <v>0</v>
      </c>
      <c r="F8" s="6">
        <f>-O17</f>
        <v>0</v>
      </c>
      <c r="G8" s="6">
        <f>-P17</f>
        <v>0</v>
      </c>
      <c r="H8" s="6">
        <f>-Q17</f>
        <v>0</v>
      </c>
    </row>
    <row r="9" spans="1:8" x14ac:dyDescent="0.25">
      <c r="A9" s="22" t="s">
        <v>34</v>
      </c>
      <c r="B9" s="6">
        <f>-K18</f>
        <v>0</v>
      </c>
      <c r="C9" s="6">
        <f>-L18</f>
        <v>0</v>
      </c>
      <c r="D9" s="6">
        <f>-M18</f>
        <v>0</v>
      </c>
      <c r="E9" s="6">
        <f>-N18</f>
        <v>0</v>
      </c>
      <c r="F9" s="6">
        <f>-O18</f>
        <v>0</v>
      </c>
      <c r="G9" s="6">
        <v>11</v>
      </c>
      <c r="H9" s="6">
        <f>-Q18</f>
        <v>0</v>
      </c>
    </row>
    <row r="10" spans="1:8" x14ac:dyDescent="0.25">
      <c r="A10" s="21" t="s">
        <v>48</v>
      </c>
      <c r="B10" s="6">
        <f>-K19</f>
        <v>0</v>
      </c>
      <c r="C10" s="6">
        <v>28</v>
      </c>
      <c r="D10" s="6">
        <f>-M19</f>
        <v>0</v>
      </c>
      <c r="E10" s="6">
        <f>-N19</f>
        <v>0</v>
      </c>
      <c r="F10" s="6">
        <f>-O19</f>
        <v>0</v>
      </c>
      <c r="G10" s="6">
        <f>-P19</f>
        <v>0</v>
      </c>
      <c r="H10" s="6">
        <v>5</v>
      </c>
    </row>
    <row r="11" spans="1:8" x14ac:dyDescent="0.25">
      <c r="A11" s="23" t="s">
        <v>49</v>
      </c>
      <c r="B11" s="17">
        <f t="shared" ref="B11:H11" si="0">SUM(B4:B10)</f>
        <v>383</v>
      </c>
      <c r="C11" s="17">
        <f t="shared" si="0"/>
        <v>434</v>
      </c>
      <c r="D11" s="17">
        <f t="shared" si="0"/>
        <v>447</v>
      </c>
      <c r="E11" s="17">
        <f t="shared" si="0"/>
        <v>208</v>
      </c>
      <c r="F11" s="17">
        <f t="shared" si="0"/>
        <v>309</v>
      </c>
      <c r="G11" s="17">
        <f t="shared" si="0"/>
        <v>324</v>
      </c>
      <c r="H11" s="17">
        <f t="shared" si="0"/>
        <v>453</v>
      </c>
    </row>
    <row r="12" spans="1:8" x14ac:dyDescent="0.25">
      <c r="A12" s="23" t="s">
        <v>50</v>
      </c>
      <c r="B12" s="17">
        <v>355</v>
      </c>
      <c r="C12" s="17">
        <v>418</v>
      </c>
      <c r="D12" s="17">
        <v>420</v>
      </c>
      <c r="E12" s="17">
        <v>188</v>
      </c>
      <c r="F12" s="17">
        <v>290</v>
      </c>
      <c r="G12" s="17">
        <v>310</v>
      </c>
      <c r="H12" s="17">
        <v>430</v>
      </c>
    </row>
    <row r="14" spans="1:8" ht="43.5" customHeight="1" x14ac:dyDescent="0.25">
      <c r="A14" s="14" t="s">
        <v>51</v>
      </c>
      <c r="B14" s="14"/>
      <c r="C14" s="14"/>
      <c r="D14" s="14"/>
      <c r="E14" s="14"/>
      <c r="F14" s="14"/>
      <c r="G14" s="14"/>
      <c r="H14" s="14"/>
    </row>
  </sheetData>
  <mergeCells count="2">
    <mergeCell ref="A1:H1"/>
    <mergeCell ref="A14:H14"/>
  </mergeCells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Bag Breakdown</vt:lpstr>
      <vt:lpstr>Compare by Component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김지혜</cp:lastModifiedBy>
  <cp:revision>0</cp:revision>
  <dcterms:created xsi:type="dcterms:W3CDTF">2026-07-01T01:48:50Z</dcterms:created>
  <dcterms:modified xsi:type="dcterms:W3CDTF">2026-07-01T02:13:53Z</dcterms:modified>
  <dc:language>en-US</dc:language>
</cp:coreProperties>
</file>